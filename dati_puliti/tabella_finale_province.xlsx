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ristian\Desktop\PROGETTO EPICODE\dati_puliti\"/>
    </mc:Choice>
  </mc:AlternateContent>
  <xr:revisionPtr revIDLastSave="0" documentId="13_ncr:1_{1648B1AB-8A08-46C2-84F2-17CAC2C2B5E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 regioni" sheetId="3" r:id="rId1"/>
    <sheet name="Province" sheetId="1" r:id="rId2"/>
    <sheet name="Fonti" sheetId="2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1" l="1"/>
  <c r="AD3" i="1"/>
  <c r="AD4" i="1"/>
  <c r="AD5" i="1"/>
  <c r="AD6" i="1"/>
  <c r="AD7" i="1"/>
  <c r="AD8" i="1"/>
  <c r="AD9" i="1"/>
  <c r="AD10" i="1"/>
  <c r="AD11" i="1"/>
  <c r="AD12" i="1"/>
  <c r="AD13" i="1"/>
  <c r="AC2" i="1"/>
  <c r="AC3" i="1"/>
  <c r="AC4" i="1"/>
  <c r="AC5" i="1"/>
  <c r="AC6" i="1"/>
  <c r="AC7" i="1"/>
  <c r="AC8" i="1"/>
  <c r="AC9" i="1"/>
  <c r="AC10" i="1"/>
  <c r="AC11" i="1"/>
  <c r="AC12" i="1"/>
  <c r="AC13" i="1"/>
</calcChain>
</file>

<file path=xl/sharedStrings.xml><?xml version="1.0" encoding="utf-8"?>
<sst xmlns="http://schemas.openxmlformats.org/spreadsheetml/2006/main" count="100" uniqueCount="77">
  <si>
    <t>classifica</t>
  </si>
  <si>
    <t>codice_provincia</t>
  </si>
  <si>
    <t>provincia</t>
  </si>
  <si>
    <t>regione</t>
  </si>
  <si>
    <t>punteggio_convenienza</t>
  </si>
  <si>
    <t>anni_stipendio</t>
  </si>
  <si>
    <t>anni_stipendio_capoluogo</t>
  </si>
  <si>
    <t>prezzo_mq_medio</t>
  </si>
  <si>
    <t>prezzo_mq_capoluogo</t>
  </si>
  <si>
    <t>prezzo_casa</t>
  </si>
  <si>
    <t>prezzo_casa_capoluogo</t>
  </si>
  <si>
    <t>affitto_mq_mese_medio</t>
  </si>
  <si>
    <t>affitto_mq_mese_capoluogo</t>
  </si>
  <si>
    <t>affitto_mensile</t>
  </si>
  <si>
    <t>affitto_su_reddito_pct</t>
  </si>
  <si>
    <t>rendimento_lordo_pct</t>
  </si>
  <si>
    <t>reddito_medio</t>
  </si>
  <si>
    <t>quota_sotto_15k</t>
  </si>
  <si>
    <t>contribuenti</t>
  </si>
  <si>
    <t>disoccupazione_2025</t>
  </si>
  <si>
    <t>disoccupazione_media_2023_2025</t>
  </si>
  <si>
    <t>popolazione_2025</t>
  </si>
  <si>
    <t>var_popolazione_2019_2025_pct</t>
  </si>
  <si>
    <t>score_accessibilita</t>
  </si>
  <si>
    <t>score_lavoro</t>
  </si>
  <si>
    <t>score_vitalita</t>
  </si>
  <si>
    <t>n_comuni_omi</t>
  </si>
  <si>
    <t>semestre</t>
  </si>
  <si>
    <t>016</t>
  </si>
  <si>
    <t>Bergamo</t>
  </si>
  <si>
    <t>Lombardia</t>
  </si>
  <si>
    <t>2026/1</t>
  </si>
  <si>
    <t>018</t>
  </si>
  <si>
    <t>Pavia</t>
  </si>
  <si>
    <t>060</t>
  </si>
  <si>
    <t>Frosinone</t>
  </si>
  <si>
    <t>Lazio</t>
  </si>
  <si>
    <t>061</t>
  </si>
  <si>
    <t>Caserta</t>
  </si>
  <si>
    <t>Campania</t>
  </si>
  <si>
    <t>059</t>
  </si>
  <si>
    <t>Latina</t>
  </si>
  <si>
    <t>075</t>
  </si>
  <si>
    <t>Lecce</t>
  </si>
  <si>
    <t>Puglia</t>
  </si>
  <si>
    <t>072</t>
  </si>
  <si>
    <t>Bari</t>
  </si>
  <si>
    <t>015</t>
  </si>
  <si>
    <t>Milano</t>
  </si>
  <si>
    <t>065</t>
  </si>
  <si>
    <t>Salerno</t>
  </si>
  <si>
    <t>058</t>
  </si>
  <si>
    <t>Roma</t>
  </si>
  <si>
    <t>071</t>
  </si>
  <si>
    <t>Foggia</t>
  </si>
  <si>
    <t>063</t>
  </si>
  <si>
    <t>Napoli</t>
  </si>
  <si>
    <t>Dato</t>
  </si>
  <si>
    <t>Fonte</t>
  </si>
  <si>
    <t>Prezzi e affitti al m²</t>
  </si>
  <si>
    <t>Agenzia Entrate - OMI, 1° semestre 2026 (abitazioni civili, stato normale)</t>
  </si>
  <si>
    <t>Reddito medio</t>
  </si>
  <si>
    <t>MEF - Dipartimento delle Finanze, anno d'imposta 2024 (reddito complessivo per contribuente)</t>
  </si>
  <si>
    <t>Disoccupazione</t>
  </si>
  <si>
    <t>Istat, tasso di disoccupazione 15-74 anni (dataflow 151_914_DF_DCCV_TAXDISOCCU1_8)</t>
  </si>
  <si>
    <t>Popolazione</t>
  </si>
  <si>
    <t>Istat, popolazione residente al 1° gennaio (dataflow 22_289)</t>
  </si>
  <si>
    <t>Ipotesi</t>
  </si>
  <si>
    <t>Casa standard di 80 m²; pesi del punteggio: {'accessibilita': 0.5, 'lavoro': 0.25, 'vitalita': 0.25}</t>
  </si>
  <si>
    <t>verifica_anni</t>
  </si>
  <si>
    <t>controllo</t>
  </si>
  <si>
    <t>Etichette di riga</t>
  </si>
  <si>
    <t>Totale complessivo</t>
  </si>
  <si>
    <t>Anni di stipendio (media)</t>
  </si>
  <si>
    <t>Reddito medio €</t>
  </si>
  <si>
    <t>Prezzo €/m² (media)</t>
  </si>
  <si>
    <t>Disoccupazione % (media)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</si>
</sst>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e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n Petrosino" refreshedDate="46316.844806018518" createdVersion="8" refreshedVersion="8" minRefreshableVersion="3" recordCount="12" xr:uid="{9DD4922F-79F9-4589-82EF-2A89C65C0936}">
  <cacheSource type="worksheet">
    <worksheetSource name="Province"/>
  </cacheSource>
  <cacheFields count="30">
    <cacheField name="classifica" numFmtId="0">
      <sharedItems containsSemiMixedTypes="0" containsString="0" containsNumber="1" containsInteger="1" minValue="1" maxValue="12"/>
    </cacheField>
    <cacheField name="codice_provincia" numFmtId="0">
      <sharedItems/>
    </cacheField>
    <cacheField name="provincia" numFmtId="0">
      <sharedItems/>
    </cacheField>
    <cacheField name="regione" numFmtId="0">
      <sharedItems count="4">
        <s v="Lombardia"/>
        <s v="Lazio"/>
        <s v="Campania"/>
        <s v="Puglia"/>
      </sharedItems>
    </cacheField>
    <cacheField name="punteggio_convenienza" numFmtId="0">
      <sharedItems containsSemiMixedTypes="0" containsString="0" containsNumber="1" minValue="9.6999999999999993" maxValue="85.3"/>
    </cacheField>
    <cacheField name="anni_stipendio" numFmtId="0">
      <sharedItems containsSemiMixedTypes="0" containsString="0" containsNumber="1" minValue="2.2000000000000002" maxValue="7.3"/>
    </cacheField>
    <cacheField name="anni_stipendio_capoluogo" numFmtId="0">
      <sharedItems containsSemiMixedTypes="0" containsString="0" containsNumber="1" minValue="3.3" maxValue="11.4"/>
    </cacheField>
    <cacheField name="prezzo_mq_medio" numFmtId="0">
      <sharedItems containsSemiMixedTypes="0" containsString="0" containsNumber="1" minValue="609.6" maxValue="3181.5"/>
    </cacheField>
    <cacheField name="prezzo_mq_capoluogo" numFmtId="0">
      <sharedItems containsSemiMixedTypes="0" containsString="0" containsNumber="1" minValue="900.6" maxValue="4953.1000000000004"/>
    </cacheField>
    <cacheField name="prezzo_casa" numFmtId="0">
      <sharedItems containsSemiMixedTypes="0" containsString="0" containsNumber="1" containsInteger="1" minValue="48768" maxValue="254520"/>
    </cacheField>
    <cacheField name="prezzo_casa_capoluogo" numFmtId="0">
      <sharedItems containsSemiMixedTypes="0" containsString="0" containsNumber="1" containsInteger="1" minValue="72048" maxValue="396248"/>
    </cacheField>
    <cacheField name="affitto_mq_mese_medio" numFmtId="0">
      <sharedItems containsSemiMixedTypes="0" containsString="0" containsNumber="1" minValue="2.8" maxValue="11.4"/>
    </cacheField>
    <cacheField name="affitto_mq_mese_capoluogo" numFmtId="0">
      <sharedItems containsSemiMixedTypes="0" containsString="0" containsNumber="1" minValue="3.8" maxValue="16.399999999999999"/>
    </cacheField>
    <cacheField name="affitto_mensile" numFmtId="0">
      <sharedItems containsSemiMixedTypes="0" containsString="0" containsNumber="1" containsInteger="1" minValue="224" maxValue="912"/>
    </cacheField>
    <cacheField name="affitto_su_reddito_pct" numFmtId="0">
      <sharedItems containsSemiMixedTypes="0" containsString="0" containsNumber="1" minValue="13.1" maxValue="33.9"/>
    </cacheField>
    <cacheField name="rendimento_lordo_pct" numFmtId="0">
      <sharedItems containsSemiMixedTypes="0" containsString="0" containsNumber="1" minValue="3.45" maxValue="7.68"/>
    </cacheField>
    <cacheField name="reddito_medio" numFmtId="0">
      <sharedItems containsSemiMixedTypes="0" containsString="0" containsNumber="1" containsInteger="1" minValue="18749" maxValue="34803"/>
    </cacheField>
    <cacheField name="quota_sotto_15k" numFmtId="0">
      <sharedItems containsSemiMixedTypes="0" containsString="0" containsNumber="1" minValue="26.7" maxValue="49.5"/>
    </cacheField>
    <cacheField name="contribuenti" numFmtId="0">
      <sharedItems containsSemiMixedTypes="0" containsString="0" containsNumber="1" containsInteger="1" minValue="316439" maxValue="3001253"/>
    </cacheField>
    <cacheField name="disoccupazione_2025" numFmtId="0">
      <sharedItems containsSemiMixedTypes="0" containsString="0" containsNumber="1" minValue="1.3" maxValue="17.899999999999999"/>
    </cacheField>
    <cacheField name="disoccupazione_media_2023_2025" numFmtId="0">
      <sharedItems containsSemiMixedTypes="0" containsString="0" containsNumber="1" minValue="1.9" maxValue="19.600000000000001"/>
    </cacheField>
    <cacheField name="popolazione_2025" numFmtId="0">
      <sharedItems containsSemiMixedTypes="0" containsString="0" containsNumber="1" containsInteger="1" minValue="462661" maxValue="4222648"/>
    </cacheField>
    <cacheField name="var_popolazione_2019_2025_pct" numFmtId="0">
      <sharedItems containsSemiMixedTypes="0" containsString="0" containsNumber="1" minValue="-3.81" maxValue="0.69"/>
    </cacheField>
    <cacheField name="score_accessibilita" numFmtId="0">
      <sharedItems containsSemiMixedTypes="0" containsString="0" containsNumber="1" minValue="0" maxValue="100"/>
    </cacheField>
    <cacheField name="score_lavoro" numFmtId="0">
      <sharedItems containsSemiMixedTypes="0" containsString="0" containsNumber="1" minValue="0" maxValue="100"/>
    </cacheField>
    <cacheField name="score_vitalita" numFmtId="0">
      <sharedItems containsSemiMixedTypes="0" containsString="0" containsNumber="1" minValue="0" maxValue="100"/>
    </cacheField>
    <cacheField name="n_comuni_omi" numFmtId="0">
      <sharedItems containsSemiMixedTypes="0" containsString="0" containsNumber="1" containsInteger="1" minValue="33" maxValue="243"/>
    </cacheField>
    <cacheField name="semestre" numFmtId="0">
      <sharedItems/>
    </cacheField>
    <cacheField name="verifica_anni" numFmtId="0">
      <sharedItems containsSemiMixedTypes="0" containsString="0" containsNumber="1" minValue="2.2175336485994905" maxValue="7.3131626583915184"/>
    </cacheField>
    <cacheField name="controll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s v="016"/>
    <s v="Bergamo"/>
    <x v="0"/>
    <n v="85.3"/>
    <n v="3.7"/>
    <n v="5.9"/>
    <n v="1306.8"/>
    <n v="2043.2"/>
    <n v="104544"/>
    <n v="163456"/>
    <n v="5.8"/>
    <n v="8.8000000000000007"/>
    <n v="464"/>
    <n v="20"/>
    <n v="5.33"/>
    <n v="27907"/>
    <n v="27.3"/>
    <n v="844716"/>
    <n v="1.3"/>
    <n v="1.9"/>
    <n v="1114780"/>
    <n v="0.69"/>
    <n v="70.59"/>
    <n v="100"/>
    <n v="100"/>
    <n v="243"/>
    <s v="2026/1"/>
    <n v="3.7461568782026013"/>
    <s v="OK"/>
  </r>
  <r>
    <n v="2"/>
    <s v="018"/>
    <s v="Pavia"/>
    <x v="0"/>
    <n v="83.5"/>
    <n v="3.2"/>
    <n v="5.4"/>
    <n v="1090.0999999999999"/>
    <n v="1828.6"/>
    <n v="87208"/>
    <n v="146288"/>
    <n v="4.2"/>
    <n v="6.5"/>
    <n v="336"/>
    <n v="14.8"/>
    <n v="4.62"/>
    <n v="27192"/>
    <n v="27.6"/>
    <n v="411173"/>
    <n v="4.0999999999999996"/>
    <n v="4.0999999999999996"/>
    <n v="541949"/>
    <n v="0.04"/>
    <n v="80.39"/>
    <n v="87.57"/>
    <n v="85.56"/>
    <n v="184"/>
    <s v="2026/1"/>
    <n v="3.2071197411003238"/>
    <s v="OK"/>
  </r>
  <r>
    <n v="3"/>
    <s v="060"/>
    <s v="Frosinone"/>
    <x v="1"/>
    <n v="67.5"/>
    <n v="2.2000000000000002"/>
    <n v="3.3"/>
    <n v="609.6"/>
    <n v="900.6"/>
    <n v="48768"/>
    <n v="72048"/>
    <n v="3.9"/>
    <n v="5.2"/>
    <n v="312"/>
    <n v="17"/>
    <n v="7.68"/>
    <n v="21992"/>
    <n v="37.700000000000003"/>
    <n v="316439"/>
    <n v="5.3"/>
    <n v="7.2"/>
    <n v="462661"/>
    <n v="-3.81"/>
    <n v="100"/>
    <n v="70.06"/>
    <n v="0"/>
    <n v="91"/>
    <s v="2026/1"/>
    <n v="2.2175336485994905"/>
    <s v="OK"/>
  </r>
  <r>
    <n v="4"/>
    <s v="061"/>
    <s v="Caserta"/>
    <x v="2"/>
    <n v="66.5"/>
    <n v="3.4"/>
    <n v="4.8"/>
    <n v="883.2"/>
    <n v="1220"/>
    <n v="70656"/>
    <n v="97600"/>
    <n v="2.8"/>
    <n v="3.8"/>
    <n v="224"/>
    <n v="13.1"/>
    <n v="3.8"/>
    <n v="20525"/>
    <n v="45.1"/>
    <n v="544671"/>
    <n v="11.3"/>
    <n v="11.5"/>
    <n v="908451"/>
    <n v="-0.78"/>
    <n v="76.47"/>
    <n v="45.76"/>
    <n v="67.33"/>
    <n v="104"/>
    <s v="2026/1"/>
    <n v="3.4424360535931791"/>
    <s v="OK"/>
  </r>
  <r>
    <n v="5"/>
    <s v="059"/>
    <s v="Latina"/>
    <x v="1"/>
    <n v="65.3"/>
    <n v="4.8"/>
    <n v="5.3"/>
    <n v="1328.8"/>
    <n v="1444.3"/>
    <n v="106304"/>
    <n v="115544"/>
    <n v="6"/>
    <n v="6.3"/>
    <n v="480"/>
    <n v="26.2"/>
    <n v="5.42"/>
    <n v="21971"/>
    <n v="41.7"/>
    <n v="399679"/>
    <n v="5.9"/>
    <n v="8.1"/>
    <n v="566698"/>
    <n v="0.61"/>
    <n v="49.02"/>
    <n v="64.97"/>
    <n v="98.22"/>
    <n v="33"/>
    <s v="2026/1"/>
    <n v="4.8383778617268218"/>
    <s v="OK"/>
  </r>
  <r>
    <n v="6"/>
    <s v="075"/>
    <s v="Lecce"/>
    <x v="3"/>
    <n v="60"/>
    <n v="3.1"/>
    <n v="4.5999999999999996"/>
    <n v="761.6"/>
    <n v="1120.9000000000001"/>
    <n v="60928"/>
    <n v="89672"/>
    <n v="3.2"/>
    <n v="5.2"/>
    <n v="256"/>
    <n v="15.6"/>
    <n v="5.04"/>
    <n v="19688"/>
    <n v="48"/>
    <n v="538388"/>
    <n v="10.199999999999999"/>
    <n v="10.3"/>
    <n v="764491"/>
    <n v="-2.79"/>
    <n v="82.35"/>
    <n v="52.54"/>
    <n v="22.67"/>
    <n v="96"/>
    <s v="2026/1"/>
    <n v="3.0946769605851281"/>
    <s v="OK"/>
  </r>
  <r>
    <n v="7"/>
    <s v="072"/>
    <s v="Bari"/>
    <x v="3"/>
    <n v="55"/>
    <n v="5"/>
    <n v="6.4"/>
    <n v="1400.3"/>
    <n v="1786.5"/>
    <n v="112024"/>
    <n v="142920"/>
    <n v="4.9000000000000004"/>
    <n v="6.5"/>
    <n v="392"/>
    <n v="21.1"/>
    <n v="4.2"/>
    <n v="22297"/>
    <n v="41"/>
    <n v="850680"/>
    <n v="6.3"/>
    <n v="6.7"/>
    <n v="1219545"/>
    <n v="-1.25"/>
    <n v="45.1"/>
    <n v="72.88"/>
    <n v="56.89"/>
    <n v="41"/>
    <s v="2026/1"/>
    <n v="5.0241736556487417"/>
    <s v="OK"/>
  </r>
  <r>
    <n v="8"/>
    <s v="015"/>
    <s v="Milano"/>
    <x v="0"/>
    <n v="42.4"/>
    <n v="7.3"/>
    <n v="11.4"/>
    <n v="3181.5"/>
    <n v="4953.1000000000004"/>
    <n v="254520"/>
    <n v="396248"/>
    <n v="11.4"/>
    <n v="16.399999999999999"/>
    <n v="912"/>
    <n v="31.4"/>
    <n v="4.3"/>
    <n v="34803"/>
    <n v="26.7"/>
    <n v="2486066"/>
    <n v="3"/>
    <n v="4.0999999999999996"/>
    <n v="3246455"/>
    <n v="-0.11"/>
    <n v="0"/>
    <n v="87.57"/>
    <n v="82.22"/>
    <n v="133"/>
    <s v="2026/1"/>
    <n v="7.3131626583915184"/>
    <s v="OK"/>
  </r>
  <r>
    <n v="9"/>
    <s v="065"/>
    <s v="Salerno"/>
    <x v="2"/>
    <n v="39.700000000000003"/>
    <n v="4.8"/>
    <n v="7.3"/>
    <n v="1218.7"/>
    <n v="1860"/>
    <n v="97496"/>
    <n v="148800"/>
    <n v="3.5"/>
    <n v="5.2"/>
    <n v="280"/>
    <n v="16.399999999999999"/>
    <n v="3.45"/>
    <n v="20517"/>
    <n v="46.7"/>
    <n v="696824"/>
    <n v="9.8000000000000007"/>
    <n v="12.4"/>
    <n v="1055372"/>
    <n v="-2.91"/>
    <n v="49.02"/>
    <n v="40.68"/>
    <n v="20"/>
    <n v="140"/>
    <s v="2026/1"/>
    <n v="4.7519617877857385"/>
    <s v="OK"/>
  </r>
  <r>
    <n v="10"/>
    <s v="058"/>
    <s v="Roma"/>
    <x v="1"/>
    <n v="39.1"/>
    <n v="6.9"/>
    <n v="8.3000000000000007"/>
    <n v="2566.9"/>
    <n v="3097.7"/>
    <n v="205352"/>
    <n v="247816"/>
    <n v="10.5"/>
    <n v="12.4"/>
    <n v="840"/>
    <n v="33.9"/>
    <n v="4.91"/>
    <n v="29710"/>
    <n v="33.5"/>
    <n v="3001253"/>
    <n v="5.3"/>
    <n v="5.9"/>
    <n v="4222648"/>
    <n v="-0.96"/>
    <n v="7.84"/>
    <n v="77.400000000000006"/>
    <n v="63.33"/>
    <n v="121"/>
    <s v="2026/1"/>
    <n v="6.9118815213732754"/>
    <s v="OK"/>
  </r>
  <r>
    <n v="11"/>
    <s v="071"/>
    <s v="Foggia"/>
    <x v="3"/>
    <n v="36.6"/>
    <n v="4.3"/>
    <n v="5.0999999999999996"/>
    <n v="999.9"/>
    <n v="1193.8"/>
    <n v="79992"/>
    <n v="95504"/>
    <n v="4"/>
    <n v="5.5"/>
    <n v="320"/>
    <n v="20.5"/>
    <n v="4.8"/>
    <n v="18749"/>
    <n v="49.5"/>
    <n v="394328"/>
    <n v="13.7"/>
    <n v="15.8"/>
    <n v="590263"/>
    <n v="-3.48"/>
    <n v="58.82"/>
    <n v="21.47"/>
    <n v="7.33"/>
    <n v="58"/>
    <s v="2026/1"/>
    <n v="4.2664675449357299"/>
    <s v="OK"/>
  </r>
  <r>
    <n v="12"/>
    <s v="063"/>
    <s v="Napoli"/>
    <x v="2"/>
    <n v="9.6999999999999993"/>
    <n v="6.9"/>
    <n v="8.6"/>
    <n v="1932.3"/>
    <n v="2403.3000000000002"/>
    <n v="154584"/>
    <n v="192264"/>
    <n v="6.3"/>
    <n v="8"/>
    <n v="504"/>
    <n v="27.1"/>
    <n v="3.91"/>
    <n v="22290"/>
    <n v="43.5"/>
    <n v="1677856"/>
    <n v="17.899999999999999"/>
    <n v="19.600000000000001"/>
    <n v="2963633"/>
    <n v="-2.77"/>
    <n v="7.84"/>
    <n v="0"/>
    <n v="23.11"/>
    <n v="92"/>
    <s v="2026/1"/>
    <n v="6.9351278600269177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37CC1-4C4D-4C4A-9E0A-F3477E79785C}" name="Tabella pivot1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E8" firstHeaderRow="0" firstDataRow="1" firstDataCol="1"/>
  <pivotFields count="30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nni di stipendio (media)" fld="5" subtotal="average" baseField="3" baseItem="0" numFmtId="164"/>
    <dataField name="Reddito medio €" fld="16" subtotal="average" baseField="3" baseItem="0" numFmtId="3"/>
    <dataField name="Prezzo €/m² (media)" fld="7" subtotal="average" baseField="3" baseItem="0" numFmtId="3"/>
    <dataField name="Disoccupazione % (media)" fld="20" subtotal="average" baseField="3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86E1C7-15DA-4F30-A2A8-52127341E313}" name="Province" displayName="Province" ref="A1:AD13" totalsRowShown="0">
  <autoFilter ref="A1:AD13" xr:uid="{9286E1C7-15DA-4F30-A2A8-52127341E313}"/>
  <tableColumns count="30">
    <tableColumn id="1" xr3:uid="{544E2C70-CCEA-4701-A551-3CAD4F5A9D5B}" name="classifica"/>
    <tableColumn id="2" xr3:uid="{AEC9C409-4D97-46DC-929E-B5BF77B41BD4}" name="codice_provincia"/>
    <tableColumn id="3" xr3:uid="{4DBF21C9-0EC4-4C26-A705-23060A8A8680}" name="provincia"/>
    <tableColumn id="4" xr3:uid="{8B496430-D4FC-4CEA-9D87-78A5B3A2FBC8}" name="regione"/>
    <tableColumn id="5" xr3:uid="{4522F17F-1517-476E-99E2-8515925F1773}" name="punteggio_convenienza"/>
    <tableColumn id="6" xr3:uid="{3D4BA995-CA5F-448D-94C7-07B3E94CEB92}" name="anni_stipendio"/>
    <tableColumn id="7" xr3:uid="{594F8058-D571-4DB4-BB33-43350E7D2EA3}" name="anni_stipendio_capoluogo"/>
    <tableColumn id="8" xr3:uid="{AA0579A4-9ED2-40ED-8933-E542087C9E5D}" name="prezzo_mq_medio"/>
    <tableColumn id="9" xr3:uid="{CE0E3E79-50CE-45F6-A396-7F9728583A16}" name="prezzo_mq_capoluogo"/>
    <tableColumn id="10" xr3:uid="{63C50B67-2B33-4443-A755-3E50D6B0D4AF}" name="prezzo_casa"/>
    <tableColumn id="11" xr3:uid="{09C8B48F-AC77-4775-8B7D-3811107E7F09}" name="prezzo_casa_capoluogo"/>
    <tableColumn id="12" xr3:uid="{75082667-2376-4BE9-8A91-7D82F8A0161D}" name="affitto_mq_mese_medio"/>
    <tableColumn id="13" xr3:uid="{D5CBA6F2-2195-4B6B-BB6D-2FA0315AB0BA}" name="affitto_mq_mese_capoluogo"/>
    <tableColumn id="14" xr3:uid="{DE82A4FF-6FB7-4F14-BECA-388E35082730}" name="affitto_mensile"/>
    <tableColumn id="15" xr3:uid="{13A93FB1-5ED2-4AB1-82BA-AAE0289C7602}" name="affitto_su_reddito_pct"/>
    <tableColumn id="16" xr3:uid="{67C7D576-606D-4FD3-BEA3-65A5E1E86A2A}" name="rendimento_lordo_pct"/>
    <tableColumn id="17" xr3:uid="{6E9CB12D-052B-4FF2-B17A-103C3F83172A}" name="reddito_medio"/>
    <tableColumn id="18" xr3:uid="{9E550403-F62A-4B07-8295-C1E9FC03B89A}" name="quota_sotto_15k"/>
    <tableColumn id="19" xr3:uid="{2479D0FD-3D49-4101-9C86-5C3D680CE755}" name="contribuenti"/>
    <tableColumn id="20" xr3:uid="{6D4CA3E6-94E1-4D0B-9B74-10937A038350}" name="disoccupazione_2025"/>
    <tableColumn id="21" xr3:uid="{978EC0F5-CEEF-423A-ACD6-7186D23B5C75}" name="disoccupazione_media_2023_2025"/>
    <tableColumn id="22" xr3:uid="{C9A0EFD7-D664-4E31-8F6C-088E2F2D740D}" name="popolazione_2025"/>
    <tableColumn id="23" xr3:uid="{4323CA90-B469-4FDC-9D1D-091D2025665C}" name="var_popolazione_2019_2025_pct"/>
    <tableColumn id="24" xr3:uid="{2D5A7755-E92F-4B33-BB10-1A4379F7A021}" name="score_accessibilita"/>
    <tableColumn id="25" xr3:uid="{09975D0E-E320-4D0D-A12A-BD887A5D8BFA}" name="score_lavoro"/>
    <tableColumn id="26" xr3:uid="{E5766D5E-AAB5-45A7-B0F1-E8851BC4F010}" name="score_vitalita"/>
    <tableColumn id="27" xr3:uid="{05A41322-A8A7-4894-B08F-29479B8159D5}" name="n_comuni_omi"/>
    <tableColumn id="28" xr3:uid="{2ECAD536-42E8-4FBB-BC16-9E1E4C67441F}" name="semestre"/>
    <tableColumn id="29" xr3:uid="{765EF14B-8547-42D1-B3EA-20DCD940EB70}" name="verifica_anni" dataDxfId="1">
      <calculatedColumnFormula>H2*80/Q2</calculatedColumnFormula>
    </tableColumn>
    <tableColumn id="30" xr3:uid="{A7BD9B90-DCE1-4176-86E0-1594FCA22F3C}" name="controllo" dataDxfId="0">
      <calculatedColumnFormula>IF(ABS(AC2-F2)&lt;0.06,"OK","CONTROLLA")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791D-FEE3-4145-B8AA-D81053791522}">
  <dimension ref="A3:E8"/>
  <sheetViews>
    <sheetView workbookViewId="0">
      <selection activeCell="B3" sqref="B3:B8"/>
      <pivotSelection pane="bottomRight" showHeader="1" extendable="1" max="4" activeRow="2" activeCol="1" click="1" r:id="rId1">
        <pivotArea dataOnly="0" outline="0" fieldPosition="0">
          <references count="1">
            <reference field="4294967294" count="1">
              <x v="0"/>
            </reference>
          </references>
        </pivotArea>
      </pivotSelection>
    </sheetView>
  </sheetViews>
  <sheetFormatPr defaultRowHeight="14.4" x14ac:dyDescent="0.3"/>
  <cols>
    <col min="1" max="1" width="17.21875" bestFit="1" customWidth="1"/>
    <col min="2" max="2" width="22.44140625" bestFit="1" customWidth="1"/>
    <col min="3" max="3" width="14.88671875" bestFit="1" customWidth="1"/>
    <col min="4" max="4" width="18.33203125" bestFit="1" customWidth="1"/>
    <col min="5" max="5" width="23.21875" bestFit="1" customWidth="1"/>
  </cols>
  <sheetData>
    <row r="3" spans="1:5" x14ac:dyDescent="0.3">
      <c r="A3" s="1" t="s">
        <v>71</v>
      </c>
      <c r="B3" t="s">
        <v>73</v>
      </c>
      <c r="C3" t="s">
        <v>74</v>
      </c>
      <c r="D3" t="s">
        <v>75</v>
      </c>
      <c r="E3" t="s">
        <v>76</v>
      </c>
    </row>
    <row r="4" spans="1:5" x14ac:dyDescent="0.3">
      <c r="A4" s="2" t="s">
        <v>39</v>
      </c>
      <c r="B4" s="3">
        <v>5.0333333333333332</v>
      </c>
      <c r="C4" s="4">
        <v>21110.666666666668</v>
      </c>
      <c r="D4" s="4">
        <v>1344.7333333333333</v>
      </c>
      <c r="E4" s="3">
        <v>14.5</v>
      </c>
    </row>
    <row r="5" spans="1:5" x14ac:dyDescent="0.3">
      <c r="A5" s="2" t="s">
        <v>36</v>
      </c>
      <c r="B5" s="3">
        <v>4.6333333333333337</v>
      </c>
      <c r="C5" s="4">
        <v>24557.666666666668</v>
      </c>
      <c r="D5" s="4">
        <v>1501.7666666666667</v>
      </c>
      <c r="E5" s="3">
        <v>7.0666666666666673</v>
      </c>
    </row>
    <row r="6" spans="1:5" x14ac:dyDescent="0.3">
      <c r="A6" s="2" t="s">
        <v>30</v>
      </c>
      <c r="B6" s="3">
        <v>4.7333333333333334</v>
      </c>
      <c r="C6" s="4">
        <v>29967.333333333332</v>
      </c>
      <c r="D6" s="4">
        <v>1859.4666666666665</v>
      </c>
      <c r="E6" s="3">
        <v>3.3666666666666667</v>
      </c>
    </row>
    <row r="7" spans="1:5" x14ac:dyDescent="0.3">
      <c r="A7" s="2" t="s">
        <v>44</v>
      </c>
      <c r="B7" s="3">
        <v>4.1333333333333329</v>
      </c>
      <c r="C7" s="4">
        <v>20244.666666666668</v>
      </c>
      <c r="D7" s="4">
        <v>1053.9333333333334</v>
      </c>
      <c r="E7" s="3">
        <v>10.933333333333332</v>
      </c>
    </row>
    <row r="8" spans="1:5" x14ac:dyDescent="0.3">
      <c r="A8" s="2" t="s">
        <v>72</v>
      </c>
      <c r="B8" s="3">
        <v>4.6333333333333337</v>
      </c>
      <c r="C8" s="4">
        <v>23970.083333333332</v>
      </c>
      <c r="D8" s="4">
        <v>1439.9750000000001</v>
      </c>
      <c r="E8" s="3">
        <v>8.9666666666666668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"/>
  <sheetViews>
    <sheetView tabSelected="1" workbookViewId="0">
      <selection activeCell="H21" sqref="H21"/>
    </sheetView>
  </sheetViews>
  <sheetFormatPr defaultRowHeight="14.4" x14ac:dyDescent="0.3"/>
  <cols>
    <col min="1" max="1" width="10.21875" customWidth="1"/>
    <col min="2" max="2" width="17.109375" customWidth="1"/>
    <col min="3" max="3" width="10.6640625" customWidth="1"/>
    <col min="4" max="4" width="9.21875" customWidth="1"/>
    <col min="5" max="5" width="23" customWidth="1"/>
    <col min="6" max="6" width="15.33203125" customWidth="1"/>
    <col min="7" max="7" width="25.21875" customWidth="1"/>
    <col min="8" max="8" width="18.44140625" customWidth="1"/>
    <col min="9" max="9" width="22" customWidth="1"/>
    <col min="10" max="10" width="13" customWidth="1"/>
    <col min="11" max="11" width="22.88671875" customWidth="1"/>
    <col min="12" max="12" width="23.6640625" customWidth="1"/>
    <col min="13" max="13" width="27.21875" customWidth="1"/>
    <col min="14" max="14" width="15.5546875" customWidth="1"/>
    <col min="15" max="15" width="21.77734375" customWidth="1"/>
    <col min="16" max="16" width="21.88671875" customWidth="1"/>
    <col min="17" max="17" width="15.33203125" customWidth="1"/>
    <col min="18" max="18" width="17.21875" customWidth="1"/>
    <col min="19" max="19" width="13.21875" customWidth="1"/>
    <col min="20" max="20" width="20.77734375" customWidth="1"/>
    <col min="21" max="21" width="32" customWidth="1"/>
    <col min="22" max="22" width="18.21875" customWidth="1"/>
    <col min="23" max="23" width="30.5546875" customWidth="1"/>
    <col min="24" max="24" width="18.21875" customWidth="1"/>
    <col min="25" max="25" width="13.6640625" customWidth="1"/>
    <col min="26" max="26" width="14" customWidth="1"/>
    <col min="27" max="27" width="15.5546875" customWidth="1"/>
    <col min="28" max="28" width="10.4414062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69</v>
      </c>
      <c r="AD1" t="s">
        <v>70</v>
      </c>
    </row>
    <row r="2" spans="1:30" x14ac:dyDescent="0.3">
      <c r="A2">
        <v>1</v>
      </c>
      <c r="B2" t="s">
        <v>28</v>
      </c>
      <c r="C2" t="s">
        <v>29</v>
      </c>
      <c r="D2" t="s">
        <v>30</v>
      </c>
      <c r="E2">
        <v>85.3</v>
      </c>
      <c r="F2">
        <v>3.7</v>
      </c>
      <c r="G2">
        <v>5.9</v>
      </c>
      <c r="H2">
        <v>1306.8</v>
      </c>
      <c r="I2">
        <v>2043.2</v>
      </c>
      <c r="J2">
        <v>104544</v>
      </c>
      <c r="K2">
        <v>163456</v>
      </c>
      <c r="L2">
        <v>5.8</v>
      </c>
      <c r="M2">
        <v>8.8000000000000007</v>
      </c>
      <c r="N2">
        <v>464</v>
      </c>
      <c r="O2">
        <v>20</v>
      </c>
      <c r="P2">
        <v>5.33</v>
      </c>
      <c r="Q2">
        <v>27907</v>
      </c>
      <c r="R2">
        <v>27.3</v>
      </c>
      <c r="S2">
        <v>844716</v>
      </c>
      <c r="T2">
        <v>1.3</v>
      </c>
      <c r="U2">
        <v>1.9</v>
      </c>
      <c r="V2">
        <v>1114780</v>
      </c>
      <c r="W2">
        <v>0.69</v>
      </c>
      <c r="X2">
        <v>70.59</v>
      </c>
      <c r="Y2">
        <v>100</v>
      </c>
      <c r="Z2">
        <v>100</v>
      </c>
      <c r="AA2">
        <v>243</v>
      </c>
      <c r="AB2" t="s">
        <v>31</v>
      </c>
      <c r="AC2">
        <f t="shared" ref="AC2:AC13" si="0">H2*80/Q2</f>
        <v>3.7461568782026013</v>
      </c>
      <c r="AD2" t="str">
        <f t="shared" ref="AD2:AD13" si="1">IF(ABS(AC2-F2)&lt;0.06,"OK","CONTROLLA")</f>
        <v>OK</v>
      </c>
    </row>
    <row r="3" spans="1:30" x14ac:dyDescent="0.3">
      <c r="A3">
        <v>2</v>
      </c>
      <c r="B3" t="s">
        <v>32</v>
      </c>
      <c r="C3" t="s">
        <v>33</v>
      </c>
      <c r="D3" t="s">
        <v>30</v>
      </c>
      <c r="E3">
        <v>83.5</v>
      </c>
      <c r="F3">
        <v>3.2</v>
      </c>
      <c r="G3">
        <v>5.4</v>
      </c>
      <c r="H3">
        <v>1090.0999999999999</v>
      </c>
      <c r="I3">
        <v>1828.6</v>
      </c>
      <c r="J3">
        <v>87208</v>
      </c>
      <c r="K3">
        <v>146288</v>
      </c>
      <c r="L3">
        <v>4.2</v>
      </c>
      <c r="M3">
        <v>6.5</v>
      </c>
      <c r="N3">
        <v>336</v>
      </c>
      <c r="O3">
        <v>14.8</v>
      </c>
      <c r="P3">
        <v>4.62</v>
      </c>
      <c r="Q3">
        <v>27192</v>
      </c>
      <c r="R3">
        <v>27.6</v>
      </c>
      <c r="S3">
        <v>411173</v>
      </c>
      <c r="T3">
        <v>4.0999999999999996</v>
      </c>
      <c r="U3">
        <v>4.0999999999999996</v>
      </c>
      <c r="V3">
        <v>541949</v>
      </c>
      <c r="W3">
        <v>0.04</v>
      </c>
      <c r="X3">
        <v>80.39</v>
      </c>
      <c r="Y3">
        <v>87.57</v>
      </c>
      <c r="Z3">
        <v>85.56</v>
      </c>
      <c r="AA3">
        <v>184</v>
      </c>
      <c r="AB3" t="s">
        <v>31</v>
      </c>
      <c r="AC3">
        <f t="shared" si="0"/>
        <v>3.2071197411003238</v>
      </c>
      <c r="AD3" t="str">
        <f t="shared" si="1"/>
        <v>OK</v>
      </c>
    </row>
    <row r="4" spans="1:30" x14ac:dyDescent="0.3">
      <c r="A4">
        <v>3</v>
      </c>
      <c r="B4" t="s">
        <v>34</v>
      </c>
      <c r="C4" t="s">
        <v>35</v>
      </c>
      <c r="D4" t="s">
        <v>36</v>
      </c>
      <c r="E4">
        <v>67.5</v>
      </c>
      <c r="F4">
        <v>2.2000000000000002</v>
      </c>
      <c r="G4">
        <v>3.3</v>
      </c>
      <c r="H4">
        <v>609.6</v>
      </c>
      <c r="I4">
        <v>900.6</v>
      </c>
      <c r="J4">
        <v>48768</v>
      </c>
      <c r="K4">
        <v>72048</v>
      </c>
      <c r="L4">
        <v>3.9</v>
      </c>
      <c r="M4">
        <v>5.2</v>
      </c>
      <c r="N4">
        <v>312</v>
      </c>
      <c r="O4">
        <v>17</v>
      </c>
      <c r="P4">
        <v>7.68</v>
      </c>
      <c r="Q4">
        <v>21992</v>
      </c>
      <c r="R4">
        <v>37.700000000000003</v>
      </c>
      <c r="S4">
        <v>316439</v>
      </c>
      <c r="T4">
        <v>5.3</v>
      </c>
      <c r="U4">
        <v>7.2</v>
      </c>
      <c r="V4">
        <v>462661</v>
      </c>
      <c r="W4">
        <v>-3.81</v>
      </c>
      <c r="X4">
        <v>100</v>
      </c>
      <c r="Y4">
        <v>70.06</v>
      </c>
      <c r="Z4">
        <v>0</v>
      </c>
      <c r="AA4">
        <v>91</v>
      </c>
      <c r="AB4" t="s">
        <v>31</v>
      </c>
      <c r="AC4">
        <f t="shared" si="0"/>
        <v>2.2175336485994905</v>
      </c>
      <c r="AD4" t="str">
        <f t="shared" si="1"/>
        <v>OK</v>
      </c>
    </row>
    <row r="5" spans="1:30" x14ac:dyDescent="0.3">
      <c r="A5">
        <v>4</v>
      </c>
      <c r="B5" t="s">
        <v>37</v>
      </c>
      <c r="C5" t="s">
        <v>38</v>
      </c>
      <c r="D5" t="s">
        <v>39</v>
      </c>
      <c r="E5">
        <v>66.5</v>
      </c>
      <c r="F5">
        <v>3.4</v>
      </c>
      <c r="G5">
        <v>4.8</v>
      </c>
      <c r="H5">
        <v>883.2</v>
      </c>
      <c r="I5">
        <v>1220</v>
      </c>
      <c r="J5">
        <v>70656</v>
      </c>
      <c r="K5">
        <v>97600</v>
      </c>
      <c r="L5">
        <v>2.8</v>
      </c>
      <c r="M5">
        <v>3.8</v>
      </c>
      <c r="N5">
        <v>224</v>
      </c>
      <c r="O5">
        <v>13.1</v>
      </c>
      <c r="P5">
        <v>3.8</v>
      </c>
      <c r="Q5">
        <v>20525</v>
      </c>
      <c r="R5">
        <v>45.1</v>
      </c>
      <c r="S5">
        <v>544671</v>
      </c>
      <c r="T5">
        <v>11.3</v>
      </c>
      <c r="U5">
        <v>11.5</v>
      </c>
      <c r="V5">
        <v>908451</v>
      </c>
      <c r="W5">
        <v>-0.78</v>
      </c>
      <c r="X5">
        <v>76.47</v>
      </c>
      <c r="Y5">
        <v>45.76</v>
      </c>
      <c r="Z5">
        <v>67.33</v>
      </c>
      <c r="AA5">
        <v>104</v>
      </c>
      <c r="AB5" t="s">
        <v>31</v>
      </c>
      <c r="AC5">
        <f t="shared" si="0"/>
        <v>3.4424360535931791</v>
      </c>
      <c r="AD5" t="str">
        <f t="shared" si="1"/>
        <v>OK</v>
      </c>
    </row>
    <row r="6" spans="1:30" x14ac:dyDescent="0.3">
      <c r="A6">
        <v>5</v>
      </c>
      <c r="B6" t="s">
        <v>40</v>
      </c>
      <c r="C6" t="s">
        <v>41</v>
      </c>
      <c r="D6" t="s">
        <v>36</v>
      </c>
      <c r="E6">
        <v>65.3</v>
      </c>
      <c r="F6">
        <v>4.8</v>
      </c>
      <c r="G6">
        <v>5.3</v>
      </c>
      <c r="H6">
        <v>1328.8</v>
      </c>
      <c r="I6">
        <v>1444.3</v>
      </c>
      <c r="J6">
        <v>106304</v>
      </c>
      <c r="K6">
        <v>115544</v>
      </c>
      <c r="L6">
        <v>6</v>
      </c>
      <c r="M6">
        <v>6.3</v>
      </c>
      <c r="N6">
        <v>480</v>
      </c>
      <c r="O6">
        <v>26.2</v>
      </c>
      <c r="P6">
        <v>5.42</v>
      </c>
      <c r="Q6">
        <v>21971</v>
      </c>
      <c r="R6">
        <v>41.7</v>
      </c>
      <c r="S6">
        <v>399679</v>
      </c>
      <c r="T6">
        <v>5.9</v>
      </c>
      <c r="U6">
        <v>8.1</v>
      </c>
      <c r="V6">
        <v>566698</v>
      </c>
      <c r="W6">
        <v>0.61</v>
      </c>
      <c r="X6">
        <v>49.02</v>
      </c>
      <c r="Y6">
        <v>64.97</v>
      </c>
      <c r="Z6">
        <v>98.22</v>
      </c>
      <c r="AA6">
        <v>33</v>
      </c>
      <c r="AB6" t="s">
        <v>31</v>
      </c>
      <c r="AC6">
        <f t="shared" si="0"/>
        <v>4.8383778617268218</v>
      </c>
      <c r="AD6" t="str">
        <f t="shared" si="1"/>
        <v>OK</v>
      </c>
    </row>
    <row r="7" spans="1:30" x14ac:dyDescent="0.3">
      <c r="A7">
        <v>6</v>
      </c>
      <c r="B7" t="s">
        <v>42</v>
      </c>
      <c r="C7" t="s">
        <v>43</v>
      </c>
      <c r="D7" t="s">
        <v>44</v>
      </c>
      <c r="E7">
        <v>60</v>
      </c>
      <c r="F7">
        <v>3.1</v>
      </c>
      <c r="G7">
        <v>4.5999999999999996</v>
      </c>
      <c r="H7">
        <v>761.6</v>
      </c>
      <c r="I7">
        <v>1120.9000000000001</v>
      </c>
      <c r="J7">
        <v>60928</v>
      </c>
      <c r="K7">
        <v>89672</v>
      </c>
      <c r="L7">
        <v>3.2</v>
      </c>
      <c r="M7">
        <v>5.2</v>
      </c>
      <c r="N7">
        <v>256</v>
      </c>
      <c r="O7">
        <v>15.6</v>
      </c>
      <c r="P7">
        <v>5.04</v>
      </c>
      <c r="Q7">
        <v>19688</v>
      </c>
      <c r="R7">
        <v>48</v>
      </c>
      <c r="S7">
        <v>538388</v>
      </c>
      <c r="T7">
        <v>10.199999999999999</v>
      </c>
      <c r="U7">
        <v>10.3</v>
      </c>
      <c r="V7">
        <v>764491</v>
      </c>
      <c r="W7">
        <v>-2.79</v>
      </c>
      <c r="X7">
        <v>82.35</v>
      </c>
      <c r="Y7">
        <v>52.54</v>
      </c>
      <c r="Z7">
        <v>22.67</v>
      </c>
      <c r="AA7">
        <v>96</v>
      </c>
      <c r="AB7" t="s">
        <v>31</v>
      </c>
      <c r="AC7">
        <f t="shared" si="0"/>
        <v>3.0946769605851281</v>
      </c>
      <c r="AD7" t="str">
        <f t="shared" si="1"/>
        <v>OK</v>
      </c>
    </row>
    <row r="8" spans="1:30" x14ac:dyDescent="0.3">
      <c r="A8">
        <v>7</v>
      </c>
      <c r="B8" t="s">
        <v>45</v>
      </c>
      <c r="C8" t="s">
        <v>46</v>
      </c>
      <c r="D8" t="s">
        <v>44</v>
      </c>
      <c r="E8">
        <v>55</v>
      </c>
      <c r="F8">
        <v>5</v>
      </c>
      <c r="G8">
        <v>6.4</v>
      </c>
      <c r="H8">
        <v>1400.3</v>
      </c>
      <c r="I8">
        <v>1786.5</v>
      </c>
      <c r="J8">
        <v>112024</v>
      </c>
      <c r="K8">
        <v>142920</v>
      </c>
      <c r="L8">
        <v>4.9000000000000004</v>
      </c>
      <c r="M8">
        <v>6.5</v>
      </c>
      <c r="N8">
        <v>392</v>
      </c>
      <c r="O8">
        <v>21.1</v>
      </c>
      <c r="P8">
        <v>4.2</v>
      </c>
      <c r="Q8">
        <v>22297</v>
      </c>
      <c r="R8">
        <v>41</v>
      </c>
      <c r="S8">
        <v>850680</v>
      </c>
      <c r="T8">
        <v>6.3</v>
      </c>
      <c r="U8">
        <v>6.7</v>
      </c>
      <c r="V8">
        <v>1219545</v>
      </c>
      <c r="W8">
        <v>-1.25</v>
      </c>
      <c r="X8">
        <v>45.1</v>
      </c>
      <c r="Y8">
        <v>72.88</v>
      </c>
      <c r="Z8">
        <v>56.89</v>
      </c>
      <c r="AA8">
        <v>41</v>
      </c>
      <c r="AB8" t="s">
        <v>31</v>
      </c>
      <c r="AC8">
        <f t="shared" si="0"/>
        <v>5.0241736556487417</v>
      </c>
      <c r="AD8" t="str">
        <f t="shared" si="1"/>
        <v>OK</v>
      </c>
    </row>
    <row r="9" spans="1:30" x14ac:dyDescent="0.3">
      <c r="A9">
        <v>8</v>
      </c>
      <c r="B9" t="s">
        <v>47</v>
      </c>
      <c r="C9" t="s">
        <v>48</v>
      </c>
      <c r="D9" t="s">
        <v>30</v>
      </c>
      <c r="E9">
        <v>42.4</v>
      </c>
      <c r="F9">
        <v>7.3</v>
      </c>
      <c r="G9">
        <v>11.4</v>
      </c>
      <c r="H9">
        <v>3181.5</v>
      </c>
      <c r="I9">
        <v>4953.1000000000004</v>
      </c>
      <c r="J9">
        <v>254520</v>
      </c>
      <c r="K9">
        <v>396248</v>
      </c>
      <c r="L9">
        <v>11.4</v>
      </c>
      <c r="M9">
        <v>16.399999999999999</v>
      </c>
      <c r="N9">
        <v>912</v>
      </c>
      <c r="O9">
        <v>31.4</v>
      </c>
      <c r="P9">
        <v>4.3</v>
      </c>
      <c r="Q9">
        <v>34803</v>
      </c>
      <c r="R9">
        <v>26.7</v>
      </c>
      <c r="S9">
        <v>2486066</v>
      </c>
      <c r="T9">
        <v>3</v>
      </c>
      <c r="U9">
        <v>4.0999999999999996</v>
      </c>
      <c r="V9">
        <v>3246455</v>
      </c>
      <c r="W9">
        <v>-0.11</v>
      </c>
      <c r="X9">
        <v>0</v>
      </c>
      <c r="Y9">
        <v>87.57</v>
      </c>
      <c r="Z9">
        <v>82.22</v>
      </c>
      <c r="AA9">
        <v>133</v>
      </c>
      <c r="AB9" t="s">
        <v>31</v>
      </c>
      <c r="AC9">
        <f t="shared" si="0"/>
        <v>7.3131626583915184</v>
      </c>
      <c r="AD9" t="str">
        <f t="shared" si="1"/>
        <v>OK</v>
      </c>
    </row>
    <row r="10" spans="1:30" x14ac:dyDescent="0.3">
      <c r="A10">
        <v>9</v>
      </c>
      <c r="B10" t="s">
        <v>49</v>
      </c>
      <c r="C10" t="s">
        <v>50</v>
      </c>
      <c r="D10" t="s">
        <v>39</v>
      </c>
      <c r="E10">
        <v>39.700000000000003</v>
      </c>
      <c r="F10">
        <v>4.8</v>
      </c>
      <c r="G10">
        <v>7.3</v>
      </c>
      <c r="H10">
        <v>1218.7</v>
      </c>
      <c r="I10">
        <v>1860</v>
      </c>
      <c r="J10">
        <v>97496</v>
      </c>
      <c r="K10">
        <v>148800</v>
      </c>
      <c r="L10">
        <v>3.5</v>
      </c>
      <c r="M10">
        <v>5.2</v>
      </c>
      <c r="N10">
        <v>280</v>
      </c>
      <c r="O10">
        <v>16.399999999999999</v>
      </c>
      <c r="P10">
        <v>3.45</v>
      </c>
      <c r="Q10">
        <v>20517</v>
      </c>
      <c r="R10">
        <v>46.7</v>
      </c>
      <c r="S10">
        <v>696824</v>
      </c>
      <c r="T10">
        <v>9.8000000000000007</v>
      </c>
      <c r="U10">
        <v>12.4</v>
      </c>
      <c r="V10">
        <v>1055372</v>
      </c>
      <c r="W10">
        <v>-2.91</v>
      </c>
      <c r="X10">
        <v>49.02</v>
      </c>
      <c r="Y10">
        <v>40.68</v>
      </c>
      <c r="Z10">
        <v>20</v>
      </c>
      <c r="AA10">
        <v>140</v>
      </c>
      <c r="AB10" t="s">
        <v>31</v>
      </c>
      <c r="AC10">
        <f t="shared" si="0"/>
        <v>4.7519617877857385</v>
      </c>
      <c r="AD10" t="str">
        <f t="shared" si="1"/>
        <v>OK</v>
      </c>
    </row>
    <row r="11" spans="1:30" x14ac:dyDescent="0.3">
      <c r="A11">
        <v>10</v>
      </c>
      <c r="B11" t="s">
        <v>51</v>
      </c>
      <c r="C11" t="s">
        <v>52</v>
      </c>
      <c r="D11" t="s">
        <v>36</v>
      </c>
      <c r="E11">
        <v>39.1</v>
      </c>
      <c r="F11">
        <v>6.9</v>
      </c>
      <c r="G11">
        <v>8.3000000000000007</v>
      </c>
      <c r="H11">
        <v>2566.9</v>
      </c>
      <c r="I11">
        <v>3097.7</v>
      </c>
      <c r="J11">
        <v>205352</v>
      </c>
      <c r="K11">
        <v>247816</v>
      </c>
      <c r="L11">
        <v>10.5</v>
      </c>
      <c r="M11">
        <v>12.4</v>
      </c>
      <c r="N11">
        <v>840</v>
      </c>
      <c r="O11">
        <v>33.9</v>
      </c>
      <c r="P11">
        <v>4.91</v>
      </c>
      <c r="Q11">
        <v>29710</v>
      </c>
      <c r="R11">
        <v>33.5</v>
      </c>
      <c r="S11">
        <v>3001253</v>
      </c>
      <c r="T11">
        <v>5.3</v>
      </c>
      <c r="U11">
        <v>5.9</v>
      </c>
      <c r="V11">
        <v>4222648</v>
      </c>
      <c r="W11">
        <v>-0.96</v>
      </c>
      <c r="X11">
        <v>7.84</v>
      </c>
      <c r="Y11">
        <v>77.400000000000006</v>
      </c>
      <c r="Z11">
        <v>63.33</v>
      </c>
      <c r="AA11">
        <v>121</v>
      </c>
      <c r="AB11" t="s">
        <v>31</v>
      </c>
      <c r="AC11">
        <f t="shared" si="0"/>
        <v>6.9118815213732754</v>
      </c>
      <c r="AD11" t="str">
        <f t="shared" si="1"/>
        <v>OK</v>
      </c>
    </row>
    <row r="12" spans="1:30" x14ac:dyDescent="0.3">
      <c r="A12">
        <v>11</v>
      </c>
      <c r="B12" t="s">
        <v>53</v>
      </c>
      <c r="C12" t="s">
        <v>54</v>
      </c>
      <c r="D12" t="s">
        <v>44</v>
      </c>
      <c r="E12">
        <v>36.6</v>
      </c>
      <c r="F12">
        <v>4.3</v>
      </c>
      <c r="G12">
        <v>5.0999999999999996</v>
      </c>
      <c r="H12">
        <v>999.9</v>
      </c>
      <c r="I12">
        <v>1193.8</v>
      </c>
      <c r="J12">
        <v>79992</v>
      </c>
      <c r="K12">
        <v>95504</v>
      </c>
      <c r="L12">
        <v>4</v>
      </c>
      <c r="M12">
        <v>5.5</v>
      </c>
      <c r="N12">
        <v>320</v>
      </c>
      <c r="O12">
        <v>20.5</v>
      </c>
      <c r="P12">
        <v>4.8</v>
      </c>
      <c r="Q12">
        <v>18749</v>
      </c>
      <c r="R12">
        <v>49.5</v>
      </c>
      <c r="S12">
        <v>394328</v>
      </c>
      <c r="T12">
        <v>13.7</v>
      </c>
      <c r="U12">
        <v>15.8</v>
      </c>
      <c r="V12">
        <v>590263</v>
      </c>
      <c r="W12">
        <v>-3.48</v>
      </c>
      <c r="X12">
        <v>58.82</v>
      </c>
      <c r="Y12">
        <v>21.47</v>
      </c>
      <c r="Z12">
        <v>7.33</v>
      </c>
      <c r="AA12">
        <v>58</v>
      </c>
      <c r="AB12" t="s">
        <v>31</v>
      </c>
      <c r="AC12">
        <f t="shared" si="0"/>
        <v>4.2664675449357299</v>
      </c>
      <c r="AD12" t="str">
        <f t="shared" si="1"/>
        <v>OK</v>
      </c>
    </row>
    <row r="13" spans="1:30" x14ac:dyDescent="0.3">
      <c r="A13">
        <v>12</v>
      </c>
      <c r="B13" t="s">
        <v>55</v>
      </c>
      <c r="C13" t="s">
        <v>56</v>
      </c>
      <c r="D13" t="s">
        <v>39</v>
      </c>
      <c r="E13">
        <v>9.6999999999999993</v>
      </c>
      <c r="F13">
        <v>6.9</v>
      </c>
      <c r="G13">
        <v>8.6</v>
      </c>
      <c r="H13">
        <v>1932.3</v>
      </c>
      <c r="I13">
        <v>2403.3000000000002</v>
      </c>
      <c r="J13">
        <v>154584</v>
      </c>
      <c r="K13">
        <v>192264</v>
      </c>
      <c r="L13">
        <v>6.3</v>
      </c>
      <c r="M13">
        <v>8</v>
      </c>
      <c r="N13">
        <v>504</v>
      </c>
      <c r="O13">
        <v>27.1</v>
      </c>
      <c r="P13">
        <v>3.91</v>
      </c>
      <c r="Q13">
        <v>22290</v>
      </c>
      <c r="R13">
        <v>43.5</v>
      </c>
      <c r="S13">
        <v>1677856</v>
      </c>
      <c r="T13">
        <v>17.899999999999999</v>
      </c>
      <c r="U13">
        <v>19.600000000000001</v>
      </c>
      <c r="V13">
        <v>2963633</v>
      </c>
      <c r="W13">
        <v>-2.77</v>
      </c>
      <c r="X13">
        <v>7.84</v>
      </c>
      <c r="Y13">
        <v>0</v>
      </c>
      <c r="Z13">
        <v>23.11</v>
      </c>
      <c r="AA13">
        <v>92</v>
      </c>
      <c r="AB13" t="s">
        <v>31</v>
      </c>
      <c r="AC13">
        <f t="shared" si="0"/>
        <v>6.9351278600269177</v>
      </c>
      <c r="AD13" t="str">
        <f t="shared" si="1"/>
        <v>OK</v>
      </c>
    </row>
    <row r="18" spans="7:8" x14ac:dyDescent="0.3">
      <c r="G18" s="5"/>
    </row>
    <row r="20" spans="7:8" x14ac:dyDescent="0.3">
      <c r="G20" s="5"/>
    </row>
    <row r="21" spans="7:8" x14ac:dyDescent="0.3">
      <c r="H21" s="5"/>
    </row>
  </sheetData>
  <conditionalFormatting sqref="F2:F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t="s">
        <v>57</v>
      </c>
      <c r="B1" t="s">
        <v>58</v>
      </c>
    </row>
    <row r="2" spans="1:2" x14ac:dyDescent="0.3">
      <c r="A2" t="s">
        <v>59</v>
      </c>
      <c r="B2" t="s">
        <v>60</v>
      </c>
    </row>
    <row r="3" spans="1:2" x14ac:dyDescent="0.3">
      <c r="A3" t="s">
        <v>61</v>
      </c>
      <c r="B3" t="s">
        <v>62</v>
      </c>
    </row>
    <row r="4" spans="1:2" x14ac:dyDescent="0.3">
      <c r="A4" t="s">
        <v>63</v>
      </c>
      <c r="B4" t="s">
        <v>64</v>
      </c>
    </row>
    <row r="5" spans="1:2" x14ac:dyDescent="0.3">
      <c r="A5" t="s">
        <v>65</v>
      </c>
      <c r="B5" t="s">
        <v>66</v>
      </c>
    </row>
    <row r="6" spans="1:2" x14ac:dyDescent="0.3">
      <c r="A6" t="s">
        <v>67</v>
      </c>
      <c r="B6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Pivot regioni</vt:lpstr>
      <vt:lpstr>Province</vt:lpstr>
      <vt:lpstr>Fonti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Petrosino</cp:lastModifiedBy>
  <dcterms:created xsi:type="dcterms:W3CDTF">2026-10-21T14:30:57Z</dcterms:created>
  <dcterms:modified xsi:type="dcterms:W3CDTF">2026-10-21T18:35:18Z</dcterms:modified>
</cp:coreProperties>
</file>