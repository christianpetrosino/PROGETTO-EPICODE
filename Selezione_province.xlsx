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vince" sheetId="1" state="visible" r:id="rId3"/>
    <sheet name="Riepilogo" sheetId="2" state="visible" r:id="rId4"/>
  </sheets>
  <definedNames>
    <definedName function="false" hidden="true" localSheetId="0" name="_xlnm._FilterDatabase" vbProcedure="false">Province!$A$4:$F$16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<sst xmlns="http://schemas.openxmlformats.org/spreadsheetml/2006/main" count="94" uniqueCount="62">
  <si>
    <t xml:space="preserve">Selezione province – Analisi mercato immobiliare</t>
  </si>
  <si>
    <t xml:space="preserve">Criterio: per ogni regione il capoluogo regionale + due province con profilo diverso</t>
  </si>
  <si>
    <t xml:space="preserve">Regione</t>
  </si>
  <si>
    <t xml:space="preserve">Provincia</t>
  </si>
  <si>
    <t xml:space="preserve">Sigla</t>
  </si>
  <si>
    <t xml:space="preserve">Codice Istat provincia</t>
  </si>
  <si>
    <t xml:space="preserve">Ruolo</t>
  </si>
  <si>
    <t xml:space="preserve">Profilo atteso (da verificare con i dati)</t>
  </si>
  <si>
    <t xml:space="preserve">Lombardia</t>
  </si>
  <si>
    <t xml:space="preserve">Milano</t>
  </si>
  <si>
    <t xml:space="preserve">MI</t>
  </si>
  <si>
    <t xml:space="preserve">015</t>
  </si>
  <si>
    <t xml:space="preserve">Capoluogo regionale</t>
  </si>
  <si>
    <t xml:space="preserve">Mercato di riferimento, il più caro</t>
  </si>
  <si>
    <t xml:space="preserve">Bergamo</t>
  </si>
  <si>
    <t xml:space="preserve">BG</t>
  </si>
  <si>
    <t xml:space="preserve">016</t>
  </si>
  <si>
    <t xml:space="preserve">Seconda</t>
  </si>
  <si>
    <t xml:space="preserve">Grande e dinamica</t>
  </si>
  <si>
    <t xml:space="preserve">Pavia</t>
  </si>
  <si>
    <t xml:space="preserve">PV</t>
  </si>
  <si>
    <t xml:space="preserve">018</t>
  </si>
  <si>
    <t xml:space="preserve">Terza</t>
  </si>
  <si>
    <t xml:space="preserve">Più periferica ed economica</t>
  </si>
  <si>
    <t xml:space="preserve">Lazio</t>
  </si>
  <si>
    <t xml:space="preserve">Roma</t>
  </si>
  <si>
    <t xml:space="preserve">RM</t>
  </si>
  <si>
    <t xml:space="preserve">058</t>
  </si>
  <si>
    <t xml:space="preserve">Latina</t>
  </si>
  <si>
    <t xml:space="preserve">LT</t>
  </si>
  <si>
    <t xml:space="preserve">059</t>
  </si>
  <si>
    <t xml:space="preserve">Frosinone</t>
  </si>
  <si>
    <t xml:space="preserve">FR</t>
  </si>
  <si>
    <t xml:space="preserve">060</t>
  </si>
  <si>
    <t xml:space="preserve">Campania</t>
  </si>
  <si>
    <t xml:space="preserve">Napoli</t>
  </si>
  <si>
    <t xml:space="preserve">NA</t>
  </si>
  <si>
    <t xml:space="preserve">063</t>
  </si>
  <si>
    <t xml:space="preserve">Salerno</t>
  </si>
  <si>
    <t xml:space="preserve">SA</t>
  </si>
  <si>
    <t xml:space="preserve">065</t>
  </si>
  <si>
    <t xml:space="preserve">Caserta</t>
  </si>
  <si>
    <t xml:space="preserve">CE</t>
  </si>
  <si>
    <t xml:space="preserve">061</t>
  </si>
  <si>
    <t xml:space="preserve">Puglia</t>
  </si>
  <si>
    <t xml:space="preserve">Bari</t>
  </si>
  <si>
    <t xml:space="preserve">BA</t>
  </si>
  <si>
    <t xml:space="preserve">072</t>
  </si>
  <si>
    <t xml:space="preserve">Lecce</t>
  </si>
  <si>
    <t xml:space="preserve">LE</t>
  </si>
  <si>
    <t xml:space="preserve">075</t>
  </si>
  <si>
    <t xml:space="preserve">Foggia</t>
  </si>
  <si>
    <t xml:space="preserve">FG</t>
  </si>
  <si>
    <t xml:space="preserve">071</t>
  </si>
  <si>
    <t xml:space="preserve">Codice Istat a 3 cifre, salvato come testo per non perdere gli zeri iniziali: sarà la chiave per unire OMI, MEF e Istat.</t>
  </si>
  <si>
    <t xml:space="preserve">Fonte codici: Istat, elenco codici statistici delle unità amministrative territoriali.</t>
  </si>
  <si>
    <t xml:space="preserve">Riepilogo per regione</t>
  </si>
  <si>
    <t xml:space="preserve">N. province</t>
  </si>
  <si>
    <t xml:space="preserve">Totale</t>
  </si>
  <si>
    <t xml:space="preserve">Soglia minima consigliata</t>
  </si>
  <si>
    <t xml:space="preserve">Selezione sufficiente?</t>
  </si>
  <si>
    <t xml:space="preserve">Sotto le 8 province i confronti diventano aneddotici (ipotesi di progetto, modificabile in B10).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</si>
</sst>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s">
        <v>9</v>
      </c>
      <c r="C5" s="6" t="s">
        <v>10</v>
      </c>
      <c r="D5" s="6" t="s">
        <v>11</v>
      </c>
      <c r="E5" s="4" t="s">
        <v>12</v>
      </c>
      <c r="F5" s="4" t="s">
        <v>13</v>
      </c>
    </row>
    <row r="6" customFormat="false" ht="15" hidden="false" customHeight="false" outlineLevel="0" collapsed="false">
      <c r="A6" s="4" t="s">
        <v>8</v>
      </c>
      <c r="B6" s="4" t="s">
        <v>14</v>
      </c>
      <c r="C6" s="6" t="s">
        <v>15</v>
      </c>
      <c r="D6" s="6" t="s">
        <v>16</v>
      </c>
      <c r="E6" s="4" t="s">
        <v>17</v>
      </c>
      <c r="F6" s="4" t="s">
        <v>18</v>
      </c>
    </row>
    <row r="7" customFormat="false" ht="15" hidden="false" customHeight="false" outlineLevel="0" collapsed="false">
      <c r="A7" s="4" t="s">
        <v>8</v>
      </c>
      <c r="B7" s="4" t="s">
        <v>19</v>
      </c>
      <c r="C7" s="6" t="s">
        <v>20</v>
      </c>
      <c r="D7" s="6" t="s">
        <v>21</v>
      </c>
      <c r="E7" s="4" t="s">
        <v>22</v>
      </c>
      <c r="F7" s="4" t="s">
        <v>23</v>
      </c>
    </row>
    <row r="8" customFormat="false" ht="15" hidden="false" customHeight="false" outlineLevel="0" collapsed="false">
      <c r="A8" s="4" t="s">
        <v>24</v>
      </c>
      <c r="B8" s="5" t="s">
        <v>25</v>
      </c>
      <c r="C8" s="6" t="s">
        <v>26</v>
      </c>
      <c r="D8" s="6" t="s">
        <v>27</v>
      </c>
      <c r="E8" s="4" t="s">
        <v>12</v>
      </c>
      <c r="F8" s="4" t="s">
        <v>13</v>
      </c>
    </row>
    <row r="9" customFormat="false" ht="15" hidden="false" customHeight="false" outlineLevel="0" collapsed="false">
      <c r="A9" s="4" t="s">
        <v>24</v>
      </c>
      <c r="B9" s="4" t="s">
        <v>28</v>
      </c>
      <c r="C9" s="6" t="s">
        <v>29</v>
      </c>
      <c r="D9" s="6" t="s">
        <v>30</v>
      </c>
      <c r="E9" s="4" t="s">
        <v>17</v>
      </c>
      <c r="F9" s="4" t="s">
        <v>18</v>
      </c>
    </row>
    <row r="10" customFormat="false" ht="15" hidden="false" customHeight="false" outlineLevel="0" collapsed="false">
      <c r="A10" s="4" t="s">
        <v>24</v>
      </c>
      <c r="B10" s="4" t="s">
        <v>31</v>
      </c>
      <c r="C10" s="6" t="s">
        <v>32</v>
      </c>
      <c r="D10" s="6" t="s">
        <v>33</v>
      </c>
      <c r="E10" s="4" t="s">
        <v>22</v>
      </c>
      <c r="F10" s="4" t="s">
        <v>23</v>
      </c>
    </row>
    <row r="11" customFormat="false" ht="15" hidden="false" customHeight="false" outlineLevel="0" collapsed="false">
      <c r="A11" s="4" t="s">
        <v>34</v>
      </c>
      <c r="B11" s="5" t="s">
        <v>35</v>
      </c>
      <c r="C11" s="6" t="s">
        <v>36</v>
      </c>
      <c r="D11" s="6" t="s">
        <v>37</v>
      </c>
      <c r="E11" s="4" t="s">
        <v>12</v>
      </c>
      <c r="F11" s="4" t="s">
        <v>13</v>
      </c>
    </row>
    <row r="12" customFormat="false" ht="15" hidden="false" customHeight="false" outlineLevel="0" collapsed="false">
      <c r="A12" s="4" t="s">
        <v>34</v>
      </c>
      <c r="B12" s="4" t="s">
        <v>38</v>
      </c>
      <c r="C12" s="6" t="s">
        <v>39</v>
      </c>
      <c r="D12" s="6" t="s">
        <v>40</v>
      </c>
      <c r="E12" s="4" t="s">
        <v>17</v>
      </c>
      <c r="F12" s="4" t="s">
        <v>18</v>
      </c>
    </row>
    <row r="13" customFormat="false" ht="15" hidden="false" customHeight="false" outlineLevel="0" collapsed="false">
      <c r="A13" s="4" t="s">
        <v>34</v>
      </c>
      <c r="B13" s="4" t="s">
        <v>41</v>
      </c>
      <c r="C13" s="6" t="s">
        <v>42</v>
      </c>
      <c r="D13" s="6" t="s">
        <v>43</v>
      </c>
      <c r="E13" s="4" t="s">
        <v>22</v>
      </c>
      <c r="F13" s="4" t="s">
        <v>23</v>
      </c>
    </row>
    <row r="14" customFormat="false" ht="15" hidden="false" customHeight="false" outlineLevel="0" collapsed="false">
      <c r="A14" s="4" t="s">
        <v>44</v>
      </c>
      <c r="B14" s="5" t="s">
        <v>45</v>
      </c>
      <c r="C14" s="6" t="s">
        <v>46</v>
      </c>
      <c r="D14" s="6" t="s">
        <v>47</v>
      </c>
      <c r="E14" s="4" t="s">
        <v>12</v>
      </c>
      <c r="F14" s="4" t="s">
        <v>13</v>
      </c>
    </row>
    <row r="15" customFormat="false" ht="15" hidden="false" customHeight="false" outlineLevel="0" collapsed="false">
      <c r="A15" s="4" t="s">
        <v>44</v>
      </c>
      <c r="B15" s="4" t="s">
        <v>48</v>
      </c>
      <c r="C15" s="6" t="s">
        <v>49</v>
      </c>
      <c r="D15" s="6" t="s">
        <v>50</v>
      </c>
      <c r="E15" s="4" t="s">
        <v>17</v>
      </c>
      <c r="F15" s="4" t="s">
        <v>18</v>
      </c>
    </row>
    <row r="16" customFormat="false" ht="15" hidden="false" customHeight="false" outlineLevel="0" collapsed="false">
      <c r="A16" s="4" t="s">
        <v>44</v>
      </c>
      <c r="B16" s="4" t="s">
        <v>51</v>
      </c>
      <c r="C16" s="6" t="s">
        <v>52</v>
      </c>
      <c r="D16" s="6" t="s">
        <v>53</v>
      </c>
      <c r="E16" s="4" t="s">
        <v>22</v>
      </c>
      <c r="F16" s="4" t="s">
        <v>23</v>
      </c>
    </row>
    <row r="18" customFormat="false" ht="15" hidden="false" customHeight="false" outlineLevel="0" collapsed="false">
      <c r="A18" s="2" t="s">
        <v>54</v>
      </c>
    </row>
    <row r="19" customFormat="false" ht="15" hidden="false" customHeight="false" outlineLevel="0" collapsed="false">
      <c r="A19" s="2" t="s">
        <v>55</v>
      </c>
    </row>
  </sheetData>
  <autoFilter ref="A4:F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22"/>
  </cols>
  <sheetData>
    <row r="1" customFormat="false" ht="17.35" hidden="false" customHeight="false" outlineLevel="0" collapsed="false">
      <c r="A1" s="1" t="s">
        <v>56</v>
      </c>
    </row>
    <row r="3" customFormat="false" ht="15" hidden="false" customHeight="false" outlineLevel="0" collapsed="false">
      <c r="A3" s="7" t="s">
        <v>2</v>
      </c>
      <c r="B3" s="7" t="s">
        <v>57</v>
      </c>
      <c r="C3" s="7" t="s">
        <v>12</v>
      </c>
    </row>
    <row r="4" customFormat="false" ht="15" hidden="false" customHeight="false" outlineLevel="0" collapsed="false">
      <c r="A4" s="4" t="s">
        <v>8</v>
      </c>
      <c r="B4" s="4" t="n">
        <f aca="false">COUNTIF(Province!$A$5:$A$16,A4)</f>
        <v>3</v>
      </c>
      <c r="C4" s="4" t="str">
        <f aca="false">INDEX(Province!$B$5:$B$16,MATCH(1,INDEX((Province!$A$5:$A$16=A4)*(Province!$E$5:$E$16="Capoluogo regionale"),0),0))</f>
        <v>Milano</v>
      </c>
    </row>
    <row r="5" customFormat="false" ht="15" hidden="false" customHeight="false" outlineLevel="0" collapsed="false">
      <c r="A5" s="4" t="s">
        <v>24</v>
      </c>
      <c r="B5" s="4" t="n">
        <f aca="false">COUNTIF(Province!$A$5:$A$16,A5)</f>
        <v>3</v>
      </c>
      <c r="C5" s="4" t="str">
        <f aca="false">INDEX(Province!$B$5:$B$16,MATCH(1,INDEX((Province!$A$5:$A$16=A5)*(Province!$E$5:$E$16="Capoluogo regionale"),0),0))</f>
        <v>Roma</v>
      </c>
    </row>
    <row r="6" customFormat="false" ht="15" hidden="false" customHeight="false" outlineLevel="0" collapsed="false">
      <c r="A6" s="4" t="s">
        <v>34</v>
      </c>
      <c r="B6" s="4" t="n">
        <f aca="false">COUNTIF(Province!$A$5:$A$16,A6)</f>
        <v>3</v>
      </c>
      <c r="C6" s="4" t="str">
        <f aca="false">INDEX(Province!$B$5:$B$16,MATCH(1,INDEX((Province!$A$5:$A$16=A6)*(Province!$E$5:$E$16="Capoluogo regionale"),0),0))</f>
        <v>Napoli</v>
      </c>
    </row>
    <row r="7" customFormat="false" ht="15" hidden="false" customHeight="false" outlineLevel="0" collapsed="false">
      <c r="A7" s="4" t="s">
        <v>44</v>
      </c>
      <c r="B7" s="4" t="n">
        <f aca="false">COUNTIF(Province!$A$5:$A$16,A7)</f>
        <v>3</v>
      </c>
      <c r="C7" s="4" t="str">
        <f aca="false">INDEX(Province!$B$5:$B$16,MATCH(1,INDEX((Province!$A$5:$A$16=A7)*(Province!$E$5:$E$16="Capoluogo regionale"),0),0))</f>
        <v>Bari</v>
      </c>
    </row>
    <row r="8" customFormat="false" ht="15" hidden="false" customHeight="false" outlineLevel="0" collapsed="false">
      <c r="A8" s="8" t="s">
        <v>58</v>
      </c>
      <c r="B8" s="8" t="n">
        <f aca="false">SUM(B4:B7)</f>
        <v>12</v>
      </c>
    </row>
    <row r="10" customFormat="false" ht="15" hidden="false" customHeight="false" outlineLevel="0" collapsed="false">
      <c r="A10" s="9" t="s">
        <v>59</v>
      </c>
      <c r="B10" s="10" t="n">
        <v>8</v>
      </c>
    </row>
    <row r="11" customFormat="false" ht="15" hidden="false" customHeight="false" outlineLevel="0" collapsed="false">
      <c r="A11" s="9" t="s">
        <v>60</v>
      </c>
      <c r="B11" s="8" t="str">
        <f aca="false">IF(B8&gt;=B10,"Sì","No: aggiungere province")</f>
        <v>Sì</v>
      </c>
    </row>
    <row r="12" customFormat="false" ht="15" hidden="false" customHeight="false" outlineLevel="0" collapsed="false">
      <c r="A12" s="2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2026-10-21T10:07:51Z</dcterms:created>
  <dc:creator>openpyxl</dc:creator>
  <dc:description/>
  <dc:language>en-US</dc:language>
  <cp:lastModifiedBy/>
  <dcterms:modified xsi:type="dcterms:W3CDTF">2026-10-21T10:07:51Z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